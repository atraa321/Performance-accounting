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 firstSheet="2" activeTab="4"/>
  </bookViews>
  <sheets>
    <sheet name="院发绩效表" sheetId="1" r:id="rId1"/>
    <sheet name="判读费" sheetId="2" r:id="rId2"/>
    <sheet name="医师工作量" sheetId="3" r:id="rId3"/>
    <sheet name="护士工作量" sheetId="4" r:id="rId4"/>
    <sheet name="绩效发放名单" sheetId="5" r:id="rId5"/>
  </sheets>
  <externalReferences>
    <externalReference r:id="rId6"/>
  </externalReferences>
  <definedNames>
    <definedName name="神经内科医师">[1]医师绩效分配!$C$11:$H$18</definedName>
    <definedName name="内分泌科医师">[1]医师绩效分配!$C$23:$H$30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<sst xmlns="http://schemas.openxmlformats.org/spreadsheetml/2006/main" count="195" uniqueCount="66">
  <si>
    <t>科室</t>
  </si>
  <si>
    <t>金额</t>
  </si>
  <si>
    <t>医师夜班(01月)</t>
  </si>
  <si>
    <t>护理组夜班(01月)</t>
  </si>
  <si>
    <t>科室盈余（12月）</t>
  </si>
  <si>
    <t>中医特色护理（12月）</t>
  </si>
  <si>
    <t>体检中心分配(01月)</t>
  </si>
  <si>
    <t>手术绩效（12月）</t>
  </si>
  <si>
    <t>判读费（1月)</t>
  </si>
  <si>
    <t>科主任判读费(1月)</t>
  </si>
  <si>
    <t>床补(1月)</t>
  </si>
  <si>
    <t>护补(1月)</t>
  </si>
  <si>
    <t>工作量(1月)</t>
  </si>
  <si>
    <t>住院证补贴(1月)</t>
  </si>
  <si>
    <t>抽血费(1月)</t>
  </si>
  <si>
    <t>护理到家(1月)</t>
  </si>
  <si>
    <t>上月差额</t>
  </si>
  <si>
    <t>进修产假补贴(1月)</t>
  </si>
  <si>
    <t>惠民工作量</t>
  </si>
  <si>
    <t>胰岛素泵12月</t>
  </si>
  <si>
    <t>肌电图12月</t>
  </si>
  <si>
    <t>门诊输液第一瓶12月</t>
  </si>
  <si>
    <t>分摊综合手术室成本12月</t>
  </si>
  <si>
    <t>碎石12月</t>
  </si>
  <si>
    <t>煎药绩效(1月)</t>
  </si>
  <si>
    <t>各科单项(1月)</t>
  </si>
  <si>
    <t>2025年11月绩效合计</t>
  </si>
  <si>
    <t>判读类别</t>
  </si>
  <si>
    <t>姓名</t>
  </si>
  <si>
    <t>求和项:判读金额</t>
  </si>
  <si>
    <t>CT</t>
  </si>
  <si>
    <t>丁茜</t>
  </si>
  <si>
    <t>韩梦男</t>
  </si>
  <si>
    <t>李珩</t>
  </si>
  <si>
    <t>任袁琳</t>
  </si>
  <si>
    <t>师昱姗</t>
  </si>
  <si>
    <t>庄飞</t>
  </si>
  <si>
    <t>DR</t>
  </si>
  <si>
    <t>MR</t>
  </si>
  <si>
    <t>彩超</t>
  </si>
  <si>
    <t>化验</t>
  </si>
  <si>
    <t>焦旭锋</t>
  </si>
  <si>
    <t>李平</t>
  </si>
  <si>
    <t>医师</t>
  </si>
  <si>
    <t>合计</t>
  </si>
  <si>
    <t>床日数</t>
  </si>
  <si>
    <t>西药费</t>
  </si>
  <si>
    <t>成药费</t>
  </si>
  <si>
    <t>工作量</t>
  </si>
  <si>
    <t>住院证</t>
  </si>
  <si>
    <t>分数</t>
  </si>
  <si>
    <t>抽血量</t>
  </si>
  <si>
    <t>杜琰洋</t>
  </si>
  <si>
    <t>白晶</t>
  </si>
  <si>
    <t>刘培瑶</t>
  </si>
  <si>
    <t>程玉杰</t>
  </si>
  <si>
    <t>王静</t>
  </si>
  <si>
    <t>卢艳华</t>
  </si>
  <si>
    <t>张静</t>
  </si>
  <si>
    <t>绩效分数</t>
  </si>
  <si>
    <t>岗位</t>
  </si>
  <si>
    <t>医师，科主任</t>
  </si>
  <si>
    <t>杨曼</t>
  </si>
  <si>
    <t>护理，护士长</t>
  </si>
  <si>
    <t>护理</t>
  </si>
  <si>
    <t>医师，副主任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</si>
</sst>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2" fillId="0" borderId="0" xfId="0" applyFont="1" applyFill="1" applyBorder="1" applyAlignment="1">
      <alignment horizontal="right" vertical="center"/>
    </xf>
    <xf numFmtId="0" fontId="0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24196;&#20027;\WPSDrive\246559195\WPS&#20113;&#30424;\&#31070;&#32463;&#20869;&#31185;\&#31185;&#23460;&#32489;&#25928;\2025\2025&#24180;12&#2637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绩效发放表"/>
      <sheetName val="绩效汇总分配"/>
      <sheetName val="护理绩效分配"/>
      <sheetName val="医师绩效分配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selection activeCell="C2" sqref="C2"/>
    </sheetView>
  </sheetViews>
  <sheetFormatPr defaultColWidth="9.02654867256637" defaultRowHeight="13.5" outlineLevelCol="1"/>
  <cols>
    <col min="1" max="1" width="25.1592920353982" customWidth="1"/>
    <col min="2" max="2" width="12.7964601769912"/>
  </cols>
  <sheetData>
    <row r="1" spans="1:2">
      <c r="A1" s="8" t="s">
        <v>0</v>
      </c>
      <c r="B1" t="s">
        <v>1</v>
      </c>
    </row>
    <row r="2" spans="1:2">
      <c r="A2" s="8" t="s">
        <v>2</v>
      </c>
      <c r="B2">
        <v>1860</v>
      </c>
    </row>
    <row r="3" spans="1:2">
      <c r="A3" s="8" t="s">
        <v>3</v>
      </c>
      <c r="B3">
        <v>3410</v>
      </c>
    </row>
    <row r="4" spans="1:2">
      <c r="A4" s="8" t="s">
        <v>4</v>
      </c>
      <c r="B4">
        <v>0</v>
      </c>
    </row>
    <row r="5" spans="1:2">
      <c r="A5" s="8" t="s">
        <v>5</v>
      </c>
      <c r="B5">
        <v>925.35</v>
      </c>
    </row>
    <row r="6" spans="1:2">
      <c r="A6" s="8" t="s">
        <v>6</v>
      </c>
      <c r="B6">
        <v>0</v>
      </c>
    </row>
    <row r="7" spans="1:2">
      <c r="A7" s="8" t="s">
        <v>7</v>
      </c>
      <c r="B7">
        <v>0</v>
      </c>
    </row>
    <row r="8" spans="1:2">
      <c r="A8" s="8" t="s">
        <v>8</v>
      </c>
      <c r="B8">
        <v>13619.245</v>
      </c>
    </row>
    <row r="9" spans="1:2">
      <c r="A9" s="8" t="s">
        <v>9</v>
      </c>
      <c r="B9">
        <v>3867.55572</v>
      </c>
    </row>
    <row r="10" spans="1:2">
      <c r="A10" s="8" t="s">
        <v>10</v>
      </c>
      <c r="B10">
        <v>3054</v>
      </c>
    </row>
    <row r="11" spans="1:2">
      <c r="A11" s="8" t="s">
        <v>11</v>
      </c>
      <c r="B11">
        <v>3460.64</v>
      </c>
    </row>
    <row r="12" spans="1:2">
      <c r="A12" s="8" t="s">
        <v>12</v>
      </c>
      <c r="B12">
        <v>3360</v>
      </c>
    </row>
    <row r="13" spans="1:2">
      <c r="A13" s="8" t="s">
        <v>13</v>
      </c>
      <c r="B13">
        <v>5250</v>
      </c>
    </row>
    <row r="14" spans="1:2">
      <c r="A14" s="8" t="s">
        <v>14</v>
      </c>
      <c r="B14">
        <v>450.4</v>
      </c>
    </row>
    <row r="15" spans="1:2">
      <c r="A15" s="8" t="s">
        <v>15</v>
      </c>
      <c r="B15">
        <v>0</v>
      </c>
    </row>
    <row r="16" spans="1:2">
      <c r="A16" s="8" t="s">
        <v>16</v>
      </c>
      <c r="B16">
        <v>-128.57</v>
      </c>
    </row>
    <row r="17" spans="1:2">
      <c r="A17" s="8" t="s">
        <v>17</v>
      </c>
      <c r="B17">
        <v>1426.4</v>
      </c>
    </row>
    <row r="18" spans="1:2">
      <c r="A18" s="8" t="s">
        <v>18</v>
      </c>
      <c r="B18">
        <v>0</v>
      </c>
    </row>
    <row r="19" spans="1:2">
      <c r="A19" s="8" t="s">
        <v>19</v>
      </c>
      <c r="B19">
        <v>246</v>
      </c>
    </row>
    <row r="20" spans="1:2">
      <c r="A20" s="8" t="s">
        <v>20</v>
      </c>
      <c r="B20">
        <v>42.4</v>
      </c>
    </row>
    <row r="21" spans="1:2">
      <c r="A21" s="8" t="s">
        <v>21</v>
      </c>
      <c r="B21">
        <v>0</v>
      </c>
    </row>
    <row r="22" spans="1:2">
      <c r="A22" s="8" t="s">
        <v>22</v>
      </c>
      <c r="B22">
        <v>0</v>
      </c>
    </row>
    <row r="23" spans="1:2">
      <c r="A23" s="8" t="s">
        <v>23</v>
      </c>
      <c r="B23">
        <v>0</v>
      </c>
    </row>
    <row r="24" spans="1:2">
      <c r="A24" s="8" t="s">
        <v>24</v>
      </c>
      <c r="B24">
        <v>0</v>
      </c>
    </row>
    <row r="25" spans="1:2">
      <c r="A25" s="8" t="s">
        <v>25</v>
      </c>
      <c r="B25">
        <v>0</v>
      </c>
    </row>
    <row r="26" spans="1:2">
      <c r="A26" s="8" t="s">
        <v>26</v>
      </c>
      <c r="B26">
        <f>SUM(B2:B25)</f>
        <v>40843.42072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workbookViewId="0">
      <selection activeCell="G20" sqref="G20"/>
    </sheetView>
  </sheetViews>
  <sheetFormatPr defaultColWidth="9.02654867256637" defaultRowHeight="13.5" outlineLevelCol="2"/>
  <cols>
    <col min="3" max="3" width="19.0530973451327" customWidth="1"/>
  </cols>
  <sheetData>
    <row r="1" spans="1:3">
      <c r="A1" s="7" t="s">
        <v>27</v>
      </c>
      <c r="B1" s="7" t="s">
        <v>28</v>
      </c>
      <c r="C1" s="7" t="s">
        <v>29</v>
      </c>
    </row>
    <row r="2" spans="1:3">
      <c r="A2" s="7" t="s">
        <v>30</v>
      </c>
      <c r="B2" s="7" t="s">
        <v>31</v>
      </c>
      <c r="C2" s="7">
        <v>34</v>
      </c>
    </row>
    <row r="3" spans="1:3">
      <c r="A3" s="7" t="s">
        <v>30</v>
      </c>
      <c r="B3" s="7" t="s">
        <v>32</v>
      </c>
      <c r="C3" s="7">
        <v>119</v>
      </c>
    </row>
    <row r="4" spans="1:3">
      <c r="A4" s="7" t="s">
        <v>30</v>
      </c>
      <c r="B4" s="7" t="s">
        <v>33</v>
      </c>
      <c r="C4" s="7">
        <v>85</v>
      </c>
    </row>
    <row r="5" spans="1:3">
      <c r="A5" s="7" t="s">
        <v>30</v>
      </c>
      <c r="B5" s="7" t="s">
        <v>34</v>
      </c>
      <c r="C5" s="7">
        <v>270</v>
      </c>
    </row>
    <row r="6" spans="1:3">
      <c r="A6" s="7" t="s">
        <v>30</v>
      </c>
      <c r="B6" s="7" t="s">
        <v>35</v>
      </c>
      <c r="C6" s="7">
        <v>34</v>
      </c>
    </row>
    <row r="7" spans="1:3">
      <c r="A7" s="7" t="s">
        <v>30</v>
      </c>
      <c r="B7" s="7" t="s">
        <v>36</v>
      </c>
      <c r="C7" s="7">
        <v>153</v>
      </c>
    </row>
    <row r="8" spans="1:3">
      <c r="A8" s="7" t="s">
        <v>37</v>
      </c>
      <c r="B8" s="7" t="s">
        <v>36</v>
      </c>
      <c r="C8" s="7">
        <v>12</v>
      </c>
    </row>
    <row r="9" spans="1:3">
      <c r="A9" s="7" t="s">
        <v>38</v>
      </c>
      <c r="B9" s="7" t="s">
        <v>31</v>
      </c>
      <c r="C9" s="7">
        <v>295</v>
      </c>
    </row>
    <row r="10" spans="1:3">
      <c r="A10" s="7" t="s">
        <v>38</v>
      </c>
      <c r="B10" s="7" t="s">
        <v>32</v>
      </c>
      <c r="C10" s="7">
        <v>450</v>
      </c>
    </row>
    <row r="11" spans="1:3">
      <c r="A11" s="7" t="s">
        <v>38</v>
      </c>
      <c r="B11" s="7" t="s">
        <v>33</v>
      </c>
      <c r="C11" s="7">
        <v>100</v>
      </c>
    </row>
    <row r="12" spans="1:3">
      <c r="A12" s="7" t="s">
        <v>38</v>
      </c>
      <c r="B12" s="7" t="s">
        <v>34</v>
      </c>
      <c r="C12" s="7">
        <v>275</v>
      </c>
    </row>
    <row r="13" spans="1:3">
      <c r="A13" s="7" t="s">
        <v>38</v>
      </c>
      <c r="B13" s="7" t="s">
        <v>35</v>
      </c>
      <c r="C13" s="7">
        <v>600</v>
      </c>
    </row>
    <row r="14" spans="1:3">
      <c r="A14" s="7" t="s">
        <v>38</v>
      </c>
      <c r="B14" s="7" t="s">
        <v>36</v>
      </c>
      <c r="C14" s="7">
        <v>295</v>
      </c>
    </row>
    <row r="15" spans="1:3">
      <c r="A15" s="7" t="s">
        <v>39</v>
      </c>
      <c r="B15" s="7" t="s">
        <v>31</v>
      </c>
      <c r="C15" s="7">
        <v>123</v>
      </c>
    </row>
    <row r="16" spans="1:3">
      <c r="A16" s="7" t="s">
        <v>39</v>
      </c>
      <c r="B16" s="7" t="s">
        <v>32</v>
      </c>
      <c r="C16" s="7">
        <v>233</v>
      </c>
    </row>
    <row r="17" spans="1:3">
      <c r="A17" s="7" t="s">
        <v>39</v>
      </c>
      <c r="B17" s="7" t="s">
        <v>33</v>
      </c>
      <c r="C17" s="7">
        <v>91</v>
      </c>
    </row>
    <row r="18" spans="1:3">
      <c r="A18" s="7" t="s">
        <v>39</v>
      </c>
      <c r="B18" s="7" t="s">
        <v>34</v>
      </c>
      <c r="C18" s="7">
        <v>264</v>
      </c>
    </row>
    <row r="19" spans="1:3">
      <c r="A19" s="7" t="s">
        <v>39</v>
      </c>
      <c r="B19" s="7" t="s">
        <v>35</v>
      </c>
      <c r="C19" s="7">
        <v>226</v>
      </c>
    </row>
    <row r="20" spans="1:3">
      <c r="A20" s="7" t="s">
        <v>39</v>
      </c>
      <c r="B20" s="7" t="s">
        <v>36</v>
      </c>
      <c r="C20" s="7">
        <v>134</v>
      </c>
    </row>
    <row r="21" spans="1:3">
      <c r="A21" s="7" t="s">
        <v>40</v>
      </c>
      <c r="B21" s="7" t="s">
        <v>31</v>
      </c>
      <c r="C21" s="7">
        <v>799.11</v>
      </c>
    </row>
    <row r="22" spans="1:3">
      <c r="A22" s="7" t="s">
        <v>40</v>
      </c>
      <c r="B22" s="7" t="s">
        <v>32</v>
      </c>
      <c r="C22" s="7">
        <v>759.85</v>
      </c>
    </row>
    <row r="23" spans="1:3">
      <c r="A23" s="7" t="s">
        <v>40</v>
      </c>
      <c r="B23" s="7" t="s">
        <v>41</v>
      </c>
      <c r="C23" s="7">
        <v>16.2</v>
      </c>
    </row>
    <row r="24" spans="1:3">
      <c r="A24" s="7" t="s">
        <v>40</v>
      </c>
      <c r="B24" s="7" t="s">
        <v>33</v>
      </c>
      <c r="C24" s="7">
        <v>349.65</v>
      </c>
    </row>
    <row r="25" spans="1:3">
      <c r="A25" s="7" t="s">
        <v>40</v>
      </c>
      <c r="B25" s="7" t="s">
        <v>34</v>
      </c>
      <c r="C25" s="7">
        <v>606.89</v>
      </c>
    </row>
    <row r="26" spans="1:3">
      <c r="A26" s="7" t="s">
        <v>40</v>
      </c>
      <c r="B26" s="7" t="s">
        <v>35</v>
      </c>
      <c r="C26" s="7">
        <v>941.96</v>
      </c>
    </row>
    <row r="27" spans="1:3">
      <c r="A27" s="7" t="s">
        <v>40</v>
      </c>
      <c r="B27" s="7" t="s">
        <v>36</v>
      </c>
      <c r="C27" s="7">
        <v>456.08</v>
      </c>
    </row>
    <row r="28" spans="1:3">
      <c r="A28" s="7" t="s">
        <v>30</v>
      </c>
      <c r="B28" s="7" t="s">
        <v>31</v>
      </c>
      <c r="C28" s="7">
        <v>82.62</v>
      </c>
    </row>
    <row r="29" spans="1:3">
      <c r="A29" s="7" t="s">
        <v>30</v>
      </c>
      <c r="B29" s="7" t="s">
        <v>32</v>
      </c>
      <c r="C29" s="7">
        <v>41.31</v>
      </c>
    </row>
    <row r="30" spans="1:3">
      <c r="A30" s="7" t="s">
        <v>30</v>
      </c>
      <c r="B30" s="7" t="s">
        <v>33</v>
      </c>
      <c r="C30" s="7">
        <v>81.81</v>
      </c>
    </row>
    <row r="31" spans="1:3">
      <c r="A31" s="7" t="s">
        <v>30</v>
      </c>
      <c r="B31" s="7" t="s">
        <v>42</v>
      </c>
      <c r="C31" s="7">
        <v>68.85</v>
      </c>
    </row>
    <row r="32" spans="1:3">
      <c r="A32" s="7" t="s">
        <v>30</v>
      </c>
      <c r="B32" s="7" t="s">
        <v>34</v>
      </c>
      <c r="C32" s="7">
        <v>55.08</v>
      </c>
    </row>
    <row r="33" spans="1:3">
      <c r="A33" t="s">
        <v>30</v>
      </c>
      <c r="B33" t="s">
        <v>35</v>
      </c>
      <c r="C33">
        <v>41.31</v>
      </c>
    </row>
    <row r="34" spans="1:3">
      <c r="A34" t="s">
        <v>37</v>
      </c>
      <c r="B34" t="s">
        <v>32</v>
      </c>
      <c r="C34">
        <v>3.24</v>
      </c>
    </row>
    <row r="35" spans="1:3">
      <c r="A35" t="s">
        <v>37</v>
      </c>
      <c r="B35" t="s">
        <v>33</v>
      </c>
      <c r="C35">
        <v>3.24</v>
      </c>
    </row>
    <row r="36" spans="1:3">
      <c r="A36" t="s">
        <v>37</v>
      </c>
      <c r="B36" t="s">
        <v>42</v>
      </c>
      <c r="C36">
        <v>6.48</v>
      </c>
    </row>
    <row r="37" spans="1:3">
      <c r="A37" t="s">
        <v>37</v>
      </c>
      <c r="B37" t="s">
        <v>34</v>
      </c>
      <c r="C37">
        <v>16.2</v>
      </c>
    </row>
    <row r="38" spans="1:3">
      <c r="A38" t="s">
        <v>37</v>
      </c>
      <c r="B38" t="s">
        <v>35</v>
      </c>
      <c r="C38">
        <v>6.48</v>
      </c>
    </row>
    <row r="39" spans="1:3">
      <c r="A39" t="s">
        <v>38</v>
      </c>
      <c r="B39" t="s">
        <v>31</v>
      </c>
      <c r="C39">
        <v>40.5</v>
      </c>
    </row>
    <row r="40" spans="1:3">
      <c r="A40" t="s">
        <v>38</v>
      </c>
      <c r="B40" t="s">
        <v>42</v>
      </c>
      <c r="C40">
        <v>40.5</v>
      </c>
    </row>
    <row r="41" spans="1:3">
      <c r="A41" t="s">
        <v>38</v>
      </c>
      <c r="B41" t="s">
        <v>34</v>
      </c>
      <c r="C41">
        <v>60.75</v>
      </c>
    </row>
    <row r="42" spans="1:3">
      <c r="A42" t="s">
        <v>38</v>
      </c>
      <c r="B42" t="s">
        <v>35</v>
      </c>
      <c r="C42">
        <v>117.45</v>
      </c>
    </row>
    <row r="43" spans="1:3">
      <c r="A43" t="s">
        <v>39</v>
      </c>
      <c r="B43" t="s">
        <v>31</v>
      </c>
      <c r="C43">
        <v>85.86</v>
      </c>
    </row>
    <row r="44" spans="1:3">
      <c r="A44" t="s">
        <v>39</v>
      </c>
      <c r="B44" t="s">
        <v>32</v>
      </c>
      <c r="C44">
        <v>201.69</v>
      </c>
    </row>
    <row r="45" spans="1:3">
      <c r="A45" t="s">
        <v>39</v>
      </c>
      <c r="B45" t="s">
        <v>33</v>
      </c>
      <c r="C45">
        <v>270.54</v>
      </c>
    </row>
    <row r="46" spans="1:3">
      <c r="A46" t="s">
        <v>39</v>
      </c>
      <c r="B46" t="s">
        <v>42</v>
      </c>
      <c r="C46">
        <v>123.93</v>
      </c>
    </row>
    <row r="47" spans="1:3">
      <c r="A47" t="s">
        <v>39</v>
      </c>
      <c r="B47" t="s">
        <v>34</v>
      </c>
      <c r="C47">
        <v>134.46</v>
      </c>
    </row>
    <row r="48" spans="1:3">
      <c r="A48" t="s">
        <v>39</v>
      </c>
      <c r="B48" t="s">
        <v>35</v>
      </c>
      <c r="C48">
        <v>47.79</v>
      </c>
    </row>
    <row r="49" spans="1:3">
      <c r="A49" t="s">
        <v>40</v>
      </c>
      <c r="B49" t="s">
        <v>31</v>
      </c>
      <c r="C49">
        <v>724.536</v>
      </c>
    </row>
    <row r="50" spans="1:3">
      <c r="A50" t="s">
        <v>40</v>
      </c>
      <c r="B50" t="s">
        <v>32</v>
      </c>
      <c r="C50">
        <v>867.879</v>
      </c>
    </row>
    <row r="51" spans="1:3">
      <c r="A51" t="s">
        <v>40</v>
      </c>
      <c r="B51" t="s">
        <v>33</v>
      </c>
      <c r="C51">
        <v>720.981</v>
      </c>
    </row>
    <row r="52" spans="1:3">
      <c r="A52" t="s">
        <v>40</v>
      </c>
      <c r="B52" t="s">
        <v>42</v>
      </c>
      <c r="C52">
        <v>724.329</v>
      </c>
    </row>
    <row r="53" spans="1:3">
      <c r="A53" t="s">
        <v>40</v>
      </c>
      <c r="B53" t="s">
        <v>34</v>
      </c>
      <c r="C53">
        <v>735.984</v>
      </c>
    </row>
    <row r="54" spans="1:3">
      <c r="A54" t="s">
        <v>40</v>
      </c>
      <c r="B54" t="s">
        <v>35</v>
      </c>
      <c r="C54">
        <v>593.046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E13" sqref="E13"/>
    </sheetView>
  </sheetViews>
  <sheetFormatPr defaultColWidth="9.02654867256637" defaultRowHeight="13.5" outlineLevelRow="7" outlineLevelCol="6"/>
  <sheetData>
    <row r="1" spans="1:7">
      <c r="A1" s="3" t="s">
        <v>43</v>
      </c>
      <c r="B1" s="3" t="s">
        <v>44</v>
      </c>
      <c r="C1" s="3" t="s">
        <v>45</v>
      </c>
      <c r="D1" s="3" t="s">
        <v>46</v>
      </c>
      <c r="E1" s="3" t="s">
        <v>47</v>
      </c>
      <c r="F1" s="4" t="s">
        <v>48</v>
      </c>
      <c r="G1" s="5" t="s">
        <v>49</v>
      </c>
    </row>
    <row r="2" spans="1:7">
      <c r="A2" s="3" t="s">
        <v>31</v>
      </c>
      <c r="B2" s="3"/>
      <c r="C2" s="3">
        <v>114</v>
      </c>
      <c r="D2" s="3"/>
      <c r="E2" s="3"/>
      <c r="F2" s="6"/>
      <c r="G2" s="5">
        <v>5</v>
      </c>
    </row>
    <row r="3" spans="1:7">
      <c r="A3" s="3" t="s">
        <v>35</v>
      </c>
      <c r="B3" s="3"/>
      <c r="C3" s="3">
        <v>231</v>
      </c>
      <c r="D3" s="3"/>
      <c r="E3" s="3"/>
      <c r="F3" s="6"/>
      <c r="G3" s="5">
        <v>9</v>
      </c>
    </row>
    <row r="4" spans="1:7">
      <c r="A4" s="3" t="s">
        <v>32</v>
      </c>
      <c r="B4" s="3"/>
      <c r="C4" s="3">
        <v>250</v>
      </c>
      <c r="D4" s="3"/>
      <c r="E4" s="3"/>
      <c r="F4" s="6"/>
      <c r="G4" s="5">
        <v>3</v>
      </c>
    </row>
    <row r="5" spans="1:7">
      <c r="A5" s="3" t="s">
        <v>34</v>
      </c>
      <c r="B5" s="3"/>
      <c r="C5" s="3">
        <v>184</v>
      </c>
      <c r="D5" s="3"/>
      <c r="E5" s="3"/>
      <c r="F5" s="6"/>
      <c r="G5" s="5">
        <v>8</v>
      </c>
    </row>
    <row r="6" spans="1:7">
      <c r="A6" s="5" t="s">
        <v>36</v>
      </c>
      <c r="B6" s="5"/>
      <c r="C6" s="5"/>
      <c r="D6" s="5"/>
      <c r="E6" s="5"/>
      <c r="F6" s="5"/>
      <c r="G6" s="5">
        <v>8</v>
      </c>
    </row>
    <row r="7" spans="1:7">
      <c r="A7" s="5" t="s">
        <v>42</v>
      </c>
      <c r="B7" s="5"/>
      <c r="C7" s="5"/>
      <c r="D7" s="5"/>
      <c r="E7" s="5"/>
      <c r="F7" s="5"/>
      <c r="G7" s="5">
        <v>25</v>
      </c>
    </row>
    <row r="8" spans="1:7">
      <c r="A8" t="s">
        <v>33</v>
      </c>
      <c r="C8">
        <v>239</v>
      </c>
      <c r="G8">
        <v>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F34" sqref="F34"/>
    </sheetView>
  </sheetViews>
  <sheetFormatPr defaultColWidth="9.02654867256637" defaultRowHeight="13.5" outlineLevelRow="7" outlineLevelCol="2"/>
  <cols>
    <col min="3" max="3" width="12.7964601769912"/>
  </cols>
  <sheetData>
    <row r="1" spans="1:3">
      <c r="A1" s="1" t="s">
        <v>28</v>
      </c>
      <c r="B1" s="1" t="s">
        <v>50</v>
      </c>
      <c r="C1" s="1" t="s">
        <v>51</v>
      </c>
    </row>
    <row r="2" spans="1:3">
      <c r="A2" s="1" t="s">
        <v>52</v>
      </c>
      <c r="B2" s="1">
        <v>146.93</v>
      </c>
      <c r="C2" s="1">
        <v>110</v>
      </c>
    </row>
    <row r="3" spans="1:3">
      <c r="A3" s="1" t="s">
        <v>53</v>
      </c>
      <c r="B3" s="1">
        <v>117.71</v>
      </c>
      <c r="C3" s="1">
        <v>60</v>
      </c>
    </row>
    <row r="4" spans="1:3">
      <c r="A4" s="1" t="s">
        <v>54</v>
      </c>
      <c r="B4" s="1">
        <v>118.64</v>
      </c>
      <c r="C4" s="1">
        <v>51</v>
      </c>
    </row>
    <row r="5" spans="1:3">
      <c r="A5" s="1" t="s">
        <v>55</v>
      </c>
      <c r="B5" s="1">
        <v>120.29</v>
      </c>
      <c r="C5" s="1">
        <v>64</v>
      </c>
    </row>
    <row r="6" spans="1:3">
      <c r="A6" s="1" t="s">
        <v>56</v>
      </c>
      <c r="B6" s="1">
        <v>155.21</v>
      </c>
      <c r="C6" s="1">
        <v>81</v>
      </c>
    </row>
    <row r="7" spans="1:3">
      <c r="A7" s="1" t="s">
        <v>57</v>
      </c>
      <c r="B7" s="1">
        <v>92.43</v>
      </c>
      <c r="C7" s="1">
        <v>4</v>
      </c>
    </row>
    <row r="8" spans="1:3">
      <c r="A8" s="1" t="s">
        <v>58</v>
      </c>
      <c r="B8" s="1">
        <v>129.27</v>
      </c>
      <c r="C8" s="1">
        <v>39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I33" sqref="I33"/>
    </sheetView>
  </sheetViews>
  <sheetFormatPr defaultColWidth="9.02654867256637" defaultRowHeight="13.5" outlineLevelCol="2"/>
  <sheetData>
    <row r="1" spans="1:3">
      <c r="A1" s="1" t="s">
        <v>28</v>
      </c>
      <c r="B1" s="1" t="s">
        <v>59</v>
      </c>
      <c r="C1" s="1" t="s">
        <v>60</v>
      </c>
    </row>
    <row r="2" spans="1:3">
      <c r="A2" s="1" t="s">
        <v>36</v>
      </c>
      <c r="B2" s="1">
        <v>900</v>
      </c>
      <c r="C2" s="1" t="s">
        <v>61</v>
      </c>
    </row>
    <row r="3" spans="1:3">
      <c r="A3" s="1" t="s">
        <v>32</v>
      </c>
      <c r="B3" s="1">
        <v>648</v>
      </c>
      <c r="C3" s="1" t="s">
        <v>43</v>
      </c>
    </row>
    <row r="4" spans="1:3">
      <c r="A4" s="1" t="s">
        <v>35</v>
      </c>
      <c r="B4" s="1">
        <v>753</v>
      </c>
      <c r="C4" s="1" t="s">
        <v>43</v>
      </c>
    </row>
    <row r="5" spans="1:3">
      <c r="A5" s="1" t="s">
        <v>62</v>
      </c>
      <c r="B5" s="1">
        <v>793</v>
      </c>
      <c r="C5" s="1" t="s">
        <v>63</v>
      </c>
    </row>
    <row r="6" spans="1:3">
      <c r="A6" s="1" t="s">
        <v>52</v>
      </c>
      <c r="B6" s="1">
        <v>606</v>
      </c>
      <c r="C6" s="1" t="s">
        <v>64</v>
      </c>
    </row>
    <row r="7" spans="1:3">
      <c r="A7" s="1" t="s">
        <v>55</v>
      </c>
      <c r="B7" s="1">
        <v>529</v>
      </c>
      <c r="C7" s="1" t="s">
        <v>64</v>
      </c>
    </row>
    <row r="8" spans="1:3">
      <c r="A8" s="1" t="s">
        <v>57</v>
      </c>
      <c r="B8" s="1">
        <v>690</v>
      </c>
      <c r="C8" s="1" t="s">
        <v>64</v>
      </c>
    </row>
    <row r="9" spans="1:3">
      <c r="A9" s="1" t="s">
        <v>54</v>
      </c>
      <c r="B9" s="1">
        <v>606</v>
      </c>
      <c r="C9" s="1" t="s">
        <v>64</v>
      </c>
    </row>
    <row r="10" spans="1:3">
      <c r="A10" s="1" t="s">
        <v>53</v>
      </c>
      <c r="B10" s="1">
        <v>606</v>
      </c>
      <c r="C10" s="1" t="s">
        <v>64</v>
      </c>
    </row>
    <row r="11" spans="1:3">
      <c r="A11" s="1" t="s">
        <v>56</v>
      </c>
      <c r="B11" s="1">
        <v>606</v>
      </c>
      <c r="C11" s="1" t="s">
        <v>64</v>
      </c>
    </row>
    <row r="12" spans="1:3">
      <c r="A12" s="1" t="s">
        <v>34</v>
      </c>
      <c r="B12" s="1">
        <v>648</v>
      </c>
      <c r="C12" s="1" t="s">
        <v>43</v>
      </c>
    </row>
    <row r="13" spans="1:3">
      <c r="A13" s="1" t="s">
        <v>56</v>
      </c>
      <c r="B13" s="1">
        <v>606</v>
      </c>
      <c r="C13" s="1" t="s">
        <v>64</v>
      </c>
    </row>
    <row r="14" spans="1:3">
      <c r="A14" s="1" t="s">
        <v>58</v>
      </c>
      <c r="B14" s="1">
        <v>606</v>
      </c>
      <c r="C14" s="1" t="s">
        <v>64</v>
      </c>
    </row>
    <row r="15" spans="1:3">
      <c r="A15" s="1" t="s">
        <v>33</v>
      </c>
      <c r="B15" s="1">
        <v>753</v>
      </c>
      <c r="C15" s="1" t="s">
        <v>43</v>
      </c>
    </row>
    <row r="16" spans="1:3">
      <c r="A16" s="2" t="s">
        <v>31</v>
      </c>
      <c r="B16" s="1">
        <v>754</v>
      </c>
      <c r="C16" s="1" t="s">
        <v>43</v>
      </c>
    </row>
    <row r="17" spans="1:3">
      <c r="A17" s="2" t="s">
        <v>42</v>
      </c>
      <c r="B17" s="1">
        <v>812</v>
      </c>
      <c r="C17" s="1" t="s">
        <v>65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NetdiskSupbooks xmlns="http://www.wps.cn/et/2019/netdiskSupbooks">
  <NetdiskSupbook Target="file:///C:\Users\庄主\WPSDrive\246559195\WPS云盘\神经内科\科室绩效\2025\2025年12月.xlsx" FileId="487758570226" NetdiskName="yunwps"/>
</NetdiskSupbooks>
</file>

<file path=customXml/itemProps1.xml><?xml version="1.0" encoding="utf-8"?>
<ds:datastoreItem xmlns:ds="http://schemas.openxmlformats.org/officeDocument/2006/customXml" ds:itemID="{8CA11897-456E-43AF-AC28-93E1BBEC0A59}">
  <ds:schemaRefs>
    <ds:schemaRef ds:uri="http://www.wps.cn/et/2019/netdiskSupbook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院发绩效表</vt:lpstr>
      <vt:lpstr>判读费</vt:lpstr>
      <vt:lpstr>医师工作量</vt:lpstr>
      <vt:lpstr>护士工作量</vt:lpstr>
      <vt:lpstr>绩效发放名单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庄主</dc:creator>
  <cp:lastModifiedBy>庄飞</cp:lastModifiedBy>
  <dcterms:created xsi:type="dcterms:W3CDTF">2026-01-20T11:50:00Z</dcterms:created>
  <dcterms:modified xsi:type="dcterms:W3CDTF">2026-02-25T05:46:08Z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5F447F17E262441886DFFC3DE1127ABB_13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