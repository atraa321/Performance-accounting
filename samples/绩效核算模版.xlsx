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firstSheet="2"/>
  </bookViews>
  <sheets>
    <sheet name="院发绩效表" sheetId="1" r:id="rId1"/>
    <sheet name="判读费" sheetId="2" r:id="rId2"/>
    <sheet name="医师工作量" sheetId="3" r:id="rId3"/>
    <sheet name="护士工作量" sheetId="4" r:id="rId4"/>
    <sheet name="绩效发放名单" sheetId="6" r:id="rId5"/>
    <sheet name="夜班统计" sheetId="7" r:id="rId6"/>
    <sheet name="科室绩效汇总发放表" sheetId="5" r:id="rId7"/>
  </sheets>
  <externalReferences>
    <externalReference r:id="rId8"/>
  </externalReferences>
  <definedNames>
    <definedName name="神经内科医师">[1]医师绩效分配!$C$11:$H$18</definedName>
    <definedName name="内分泌科医师">[1]医师绩效分配!$C$23:$H$30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<sst xmlns="http://schemas.openxmlformats.org/spreadsheetml/2006/main" count="160" uniqueCount="84">
  <si>
    <t>科室</t>
  </si>
  <si>
    <t>金额</t>
  </si>
  <si>
    <t>医师夜班(12月)</t>
  </si>
  <si>
    <t>护理组夜班(12月)</t>
  </si>
  <si>
    <t>科室盈余（11月）</t>
  </si>
  <si>
    <t>中医特色护理（11月）</t>
  </si>
  <si>
    <t>体检中心分配(12月)</t>
  </si>
  <si>
    <t>手术绩效（11月）</t>
  </si>
  <si>
    <t>判读费（12月)</t>
  </si>
  <si>
    <t>科主任判读费(12月)</t>
  </si>
  <si>
    <t>床补(12月)</t>
  </si>
  <si>
    <t>护补(12月)</t>
  </si>
  <si>
    <t>工作量(12月)</t>
  </si>
  <si>
    <t>住院证补贴(12月)</t>
  </si>
  <si>
    <t>抽血费(12月)</t>
  </si>
  <si>
    <t>护理到家(12月)</t>
  </si>
  <si>
    <t>上月差额</t>
  </si>
  <si>
    <t>进修产假补贴(12月)</t>
  </si>
  <si>
    <t>惠民工作量</t>
  </si>
  <si>
    <t>胰岛素泵11月</t>
  </si>
  <si>
    <t>肌电图11月</t>
  </si>
  <si>
    <t>门诊输液第一瓶11月</t>
  </si>
  <si>
    <t>分摊综合手术室成本11月</t>
  </si>
  <si>
    <t>碎石11月</t>
  </si>
  <si>
    <t>煎药绩效(12月)</t>
  </si>
  <si>
    <t>各科单项(12月)</t>
  </si>
  <si>
    <t>2025年11月绩效合计</t>
  </si>
  <si>
    <t>判读类别</t>
  </si>
  <si>
    <t>姓名</t>
  </si>
  <si>
    <t>求和项:判读金额</t>
  </si>
  <si>
    <t>CT</t>
  </si>
  <si>
    <t>陈艳娜</t>
  </si>
  <si>
    <t>丁茜</t>
  </si>
  <si>
    <t>韩梦男</t>
  </si>
  <si>
    <t>李青</t>
  </si>
  <si>
    <t>李延娇</t>
  </si>
  <si>
    <t>任袁琳</t>
  </si>
  <si>
    <t>师昱姗</t>
  </si>
  <si>
    <t>庄飞</t>
  </si>
  <si>
    <t>DR</t>
  </si>
  <si>
    <t>MR</t>
  </si>
  <si>
    <t>彩超</t>
  </si>
  <si>
    <t>李珩</t>
  </si>
  <si>
    <t>化验</t>
  </si>
  <si>
    <t>焦旭锋</t>
  </si>
  <si>
    <t>总计</t>
  </si>
  <si>
    <t>医师</t>
  </si>
  <si>
    <t>合计</t>
  </si>
  <si>
    <t>床日数</t>
  </si>
  <si>
    <t>西药费</t>
  </si>
  <si>
    <t>成药费</t>
  </si>
  <si>
    <t>工作量</t>
  </si>
  <si>
    <t>住院证</t>
  </si>
  <si>
    <t>分数</t>
  </si>
  <si>
    <t>抽血量</t>
  </si>
  <si>
    <t>杜琰洋</t>
  </si>
  <si>
    <t>白晶</t>
  </si>
  <si>
    <t>刘培瑶</t>
  </si>
  <si>
    <t>程玉杰</t>
  </si>
  <si>
    <t>王静</t>
  </si>
  <si>
    <t>卢艳华</t>
  </si>
  <si>
    <t>张静</t>
  </si>
  <si>
    <t>绩效分数</t>
  </si>
  <si>
    <t>岗位</t>
  </si>
  <si>
    <t>医师，科主任</t>
  </si>
  <si>
    <t>杨曼</t>
  </si>
  <si>
    <t>护理，护士长</t>
  </si>
  <si>
    <t>护理</t>
  </si>
  <si>
    <t>王岳岚</t>
  </si>
  <si>
    <t>产假</t>
  </si>
  <si>
    <t>周雨婷</t>
  </si>
  <si>
    <t>夜班数</t>
  </si>
  <si>
    <r>
      <t xml:space="preserve">平顶山市第五人民医院
</t>
    </r>
    <r>
      <rPr>
        <b/>
        <u/>
        <sz val="18"/>
        <color rgb="FF000000"/>
        <rFont val="Microsoft YaHei"/>
        <charset val="134"/>
      </rPr>
      <t xml:space="preserve">        </t>
    </r>
    <r>
      <rPr>
        <b/>
        <sz val="18"/>
        <color rgb="FF000000"/>
        <rFont val="Microsoft YaHei"/>
        <charset val="134"/>
      </rPr>
      <t xml:space="preserve">年 </t>
    </r>
    <r>
      <rPr>
        <b/>
        <u/>
        <sz val="18"/>
        <color rgb="FF000000"/>
        <rFont val="Microsoft YaHei"/>
        <charset val="134"/>
      </rPr>
      <t xml:space="preserve">     </t>
    </r>
    <r>
      <rPr>
        <b/>
        <sz val="18"/>
        <color rgb="FF000000"/>
        <rFont val="Microsoft YaHei"/>
        <charset val="134"/>
      </rPr>
      <t>月绩效发放明细表</t>
    </r>
  </si>
  <si>
    <t>科室：神经心内科</t>
  </si>
  <si>
    <t>序号</t>
  </si>
  <si>
    <t>夜班</t>
  </si>
  <si>
    <t>加班</t>
  </si>
  <si>
    <t>工作量绩效</t>
  </si>
  <si>
    <t>考核</t>
  </si>
  <si>
    <t>签名</t>
  </si>
  <si>
    <t>科主任：</t>
  </si>
  <si>
    <t>护士长：</t>
  </si>
  <si>
    <r>
      <t xml:space="preserve">日期： </t>
    </r>
    <r>
      <rPr>
        <u/>
        <sz val="12"/>
        <color rgb="FF000000"/>
        <rFont val="Microsoft YaHei"/>
        <charset val="134"/>
      </rPr>
      <t xml:space="preserve">            </t>
    </r>
    <r>
      <rPr>
        <sz val="12"/>
        <color rgb="FF000000"/>
        <rFont val="Microsoft YaHei"/>
        <charset val="134"/>
      </rPr>
      <t>年</t>
    </r>
    <r>
      <rPr>
        <u/>
        <sz val="12"/>
        <color rgb="FF000000"/>
        <rFont val="Microsoft YaHei"/>
        <charset val="134"/>
      </rPr>
      <t xml:space="preserve">     </t>
    </r>
    <r>
      <rPr>
        <sz val="12"/>
        <color rgb="FF000000"/>
        <rFont val="Microsoft YaHei"/>
        <charset val="134"/>
      </rPr>
      <t>月</t>
    </r>
    <r>
      <rPr>
        <u/>
        <sz val="12"/>
        <color rgb="FF000000"/>
        <rFont val="Microsoft YaHei"/>
        <charset val="134"/>
      </rPr>
      <t xml:space="preserve">      </t>
    </r>
    <r>
      <rPr>
        <sz val="12"/>
        <color rgb="FF000000"/>
        <rFont val="Microsoft YaHei"/>
        <charset val="134"/>
      </rPr>
      <t>日</t>
    </r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</si>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</sst>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b/>
      <sz val="18"/>
      <color rgb="FF000000"/>
      <name val="Microsoft YaHei"/>
      <charset val="134"/>
    </font>
    <font>
      <b/>
      <sz val="14"/>
      <color rgb="FF595959"/>
      <name val="Microsoft YaHei"/>
      <charset val="134"/>
    </font>
    <font>
      <b/>
      <sz val="12"/>
      <color rgb="FFFFFFFF"/>
      <name val="Microsoft YaHei"/>
      <charset val="134"/>
    </font>
    <font>
      <sz val="12"/>
      <color rgb="FF000000"/>
      <name val="Microsoft YaHei"/>
      <charset val="134"/>
    </font>
    <font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sz val="11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2"/>
      <color rgb="FF000000"/>
      <name val="Microsoft YaHei"/>
      <charset val="134"/>
    </font>
    <font>
      <b/>
      <u/>
      <sz val="18"/>
      <color rgb="FF000000"/>
      <name val="Microsoft YaHe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10" borderId="14" applyNumberFormat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4" borderId="5" xfId="0" applyNumberFormat="1" applyFont="1" applyFill="1" applyBorder="1" applyAlignment="1">
      <alignment horizontal="center" vertical="center" wrapText="1"/>
    </xf>
    <xf numFmtId="1" fontId="4" fillId="4" borderId="5" xfId="0" applyNumberFormat="1" applyFont="1" applyFill="1" applyBorder="1" applyAlignment="1">
      <alignment horizontal="center" vertical="center" wrapText="1"/>
    </xf>
    <xf numFmtId="0" fontId="4" fillId="4" borderId="6" xfId="0" applyNumberFormat="1" applyFont="1" applyFill="1" applyBorder="1" applyAlignment="1">
      <alignment horizontal="center" vertical="center" wrapText="1"/>
    </xf>
    <xf numFmtId="1" fontId="4" fillId="0" borderId="6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4" fillId="4" borderId="8" xfId="0" applyNumberFormat="1" applyFon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center" vertical="center" wrapText="1"/>
    </xf>
    <xf numFmtId="1" fontId="4" fillId="0" borderId="8" xfId="0" applyNumberFormat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14" fontId="4" fillId="5" borderId="0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5" fillId="0" borderId="1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right" vertical="center"/>
    </xf>
    <xf numFmtId="0" fontId="0" fillId="0" borderId="0" xfId="0" applyFont="1" applyFill="1" applyAlignment="1">
      <alignment vertical="center" wrapText="1"/>
    </xf>
    <xf numFmtId="0" fontId="0" fillId="6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8" fillId="0" borderId="10" xfId="0" applyFont="1" applyFill="1" applyBorder="1" applyAlignment="1">
      <alignment vertical="center"/>
    </xf>
    <xf numFmtId="176" fontId="8" fillId="0" borderId="10" xfId="0" applyNumberFormat="1" applyFont="1" applyFill="1" applyBorder="1" applyAlignment="1">
      <alignment vertical="center"/>
    </xf>
    <xf numFmtId="176" fontId="8" fillId="7" borderId="10" xfId="0" applyNumberFormat="1" applyFont="1" applyFill="1" applyBorder="1" applyAlignment="1">
      <alignment vertical="center"/>
    </xf>
    <xf numFmtId="0" fontId="8" fillId="7" borderId="1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118745</xdr:colOff>
      <xdr:row>16</xdr:row>
      <xdr:rowOff>125095</xdr:rowOff>
    </xdr:from>
    <xdr:to>
      <xdr:col>2</xdr:col>
      <xdr:colOff>750748</xdr:colOff>
      <xdr:row>16</xdr:row>
      <xdr:rowOff>391398</xdr:rowOff>
    </xdr:to>
    <xdr:pic>
      <xdr:nvPicPr>
        <xdr:cNvPr id="2" name="图片 1" descr="签名"/>
        <xdr:cNvPicPr/>
      </xdr:nvPicPr>
      <xdr:blipFill>
        <a:blip r:embed="rId1">
          <a:lum bright="-62000" contrast="36000"/>
        </a:blip>
        <a:srcRect/>
        <a:stretch>
          <a:fillRect/>
        </a:stretch>
      </xdr:blipFill>
      <xdr:spPr>
        <a:xfrm>
          <a:off x="2171700" y="5702300"/>
          <a:ext cx="631825" cy="2660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266487</xdr:colOff>
      <xdr:row>3</xdr:row>
      <xdr:rowOff>0</xdr:rowOff>
    </xdr:from>
    <xdr:to>
      <xdr:col>7</xdr:col>
      <xdr:colOff>836675</xdr:colOff>
      <xdr:row>3</xdr:row>
      <xdr:rowOff>265856</xdr:rowOff>
    </xdr:to>
    <xdr:pic>
      <xdr:nvPicPr>
        <xdr:cNvPr id="3" name="图片 2" descr="签名"/>
        <xdr:cNvPicPr/>
      </xdr:nvPicPr>
      <xdr:blipFill>
        <a:blip r:embed="rId1">
          <a:lum bright="-36000" contrast="30001"/>
        </a:blip>
        <a:srcRect/>
        <a:stretch>
          <a:fillRect/>
        </a:stretch>
      </xdr:blipFill>
      <xdr:spPr>
        <a:xfrm>
          <a:off x="7712075" y="1119505"/>
          <a:ext cx="570230" cy="2654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4196;&#20027;\WPSDrive\246559195\WPS&#20113;&#30424;\&#31070;&#32463;&#20869;&#31185;\&#31185;&#23460;&#32489;&#25928;\2025\2025&#24180;12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绩效发放表"/>
      <sheetName val="绩效汇总分配"/>
      <sheetName val="护理绩效分配"/>
      <sheetName val="医师绩效分配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A2" sqref="A2:B26"/>
    </sheetView>
  </sheetViews>
  <sheetFormatPr defaultColWidth="9.02654867256637" defaultRowHeight="13.5" outlineLevelCol="1"/>
  <cols>
    <col min="1" max="1" width="25.1592920353982" customWidth="1"/>
    <col min="2" max="2" width="13.5398230088496" customWidth="1"/>
  </cols>
  <sheetData>
    <row r="1" spans="1:2">
      <c r="A1" s="31" t="s">
        <v>0</v>
      </c>
      <c r="B1" s="31" t="s">
        <v>1</v>
      </c>
    </row>
    <row r="2" spans="1:2">
      <c r="A2" s="31" t="s">
        <v>2</v>
      </c>
      <c r="B2" s="31">
        <v>930</v>
      </c>
    </row>
    <row r="3" spans="1:2">
      <c r="A3" s="31" t="s">
        <v>3</v>
      </c>
      <c r="B3" s="31">
        <v>1550</v>
      </c>
    </row>
    <row r="4" spans="1:2">
      <c r="A4" s="31" t="s">
        <v>4</v>
      </c>
      <c r="B4" s="32">
        <v>1750.46248450745</v>
      </c>
    </row>
    <row r="5" spans="1:2">
      <c r="A5" s="31" t="s">
        <v>5</v>
      </c>
      <c r="B5" s="33">
        <v>1352.55</v>
      </c>
    </row>
    <row r="6" spans="1:2">
      <c r="A6" s="31" t="s">
        <v>6</v>
      </c>
      <c r="B6" s="34">
        <v>27</v>
      </c>
    </row>
    <row r="7" spans="1:2">
      <c r="A7" s="31" t="s">
        <v>7</v>
      </c>
      <c r="B7" s="34"/>
    </row>
    <row r="8" spans="1:2">
      <c r="A8" s="31" t="s">
        <v>8</v>
      </c>
      <c r="B8" s="33">
        <v>7791.15</v>
      </c>
    </row>
    <row r="9" spans="1:2">
      <c r="A9" s="31" t="s">
        <v>9</v>
      </c>
      <c r="B9" s="32">
        <v>2337.345</v>
      </c>
    </row>
    <row r="10" spans="1:2">
      <c r="A10" s="31" t="s">
        <v>10</v>
      </c>
      <c r="B10" s="34">
        <v>1662</v>
      </c>
    </row>
    <row r="11" spans="1:2">
      <c r="A11" s="31" t="s">
        <v>11</v>
      </c>
      <c r="B11" s="34">
        <v>89.0322580645162</v>
      </c>
    </row>
    <row r="12" spans="1:2">
      <c r="A12" s="31" t="s">
        <v>12</v>
      </c>
      <c r="B12" s="31">
        <v>1995</v>
      </c>
    </row>
    <row r="13" spans="1:2">
      <c r="A13" s="31" t="s">
        <v>13</v>
      </c>
      <c r="B13" s="31">
        <v>2850</v>
      </c>
    </row>
    <row r="14" spans="1:2">
      <c r="A14" s="31" t="s">
        <v>14</v>
      </c>
      <c r="B14" s="34">
        <v>236</v>
      </c>
    </row>
    <row r="15" spans="1:2">
      <c r="A15" s="31" t="s">
        <v>15</v>
      </c>
      <c r="B15" s="31"/>
    </row>
    <row r="16" spans="1:2">
      <c r="A16" s="31" t="s">
        <v>16</v>
      </c>
      <c r="B16" s="31"/>
    </row>
    <row r="17" spans="1:2">
      <c r="A17" s="31" t="s">
        <v>17</v>
      </c>
      <c r="B17" s="33">
        <v>941.6</v>
      </c>
    </row>
    <row r="18" spans="1:2">
      <c r="A18" s="31" t="s">
        <v>18</v>
      </c>
      <c r="B18" s="31"/>
    </row>
    <row r="19" spans="1:2">
      <c r="A19" s="31" t="s">
        <v>19</v>
      </c>
      <c r="B19" s="31">
        <v>21</v>
      </c>
    </row>
    <row r="20" spans="1:2">
      <c r="A20" s="31" t="s">
        <v>20</v>
      </c>
      <c r="B20" s="31"/>
    </row>
    <row r="21" spans="1:2">
      <c r="A21" s="31" t="s">
        <v>21</v>
      </c>
      <c r="B21" s="31"/>
    </row>
    <row r="22" spans="1:2">
      <c r="A22" s="31" t="s">
        <v>22</v>
      </c>
      <c r="B22" s="31"/>
    </row>
    <row r="23" spans="1:2">
      <c r="A23" s="31" t="s">
        <v>23</v>
      </c>
      <c r="B23" s="31"/>
    </row>
    <row r="24" spans="1:2">
      <c r="A24" s="31" t="s">
        <v>24</v>
      </c>
      <c r="B24" s="31"/>
    </row>
    <row r="25" spans="1:2">
      <c r="A25" s="31" t="s">
        <v>25</v>
      </c>
      <c r="B25" s="34"/>
    </row>
    <row r="26" spans="1:2">
      <c r="A26" s="31" t="s">
        <v>26</v>
      </c>
      <c r="B26" s="32">
        <f>SUM(B2:B25)</f>
        <v>23533.139742572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G3" sqref="G3"/>
    </sheetView>
  </sheetViews>
  <sheetFormatPr defaultColWidth="9.02654867256637" defaultRowHeight="13.5" outlineLevelCol="2"/>
  <sheetData>
    <row r="1" ht="27" spans="1:3">
      <c r="A1" s="28" t="s">
        <v>27</v>
      </c>
      <c r="B1" s="28" t="s">
        <v>28</v>
      </c>
      <c r="C1" s="28" t="s">
        <v>29</v>
      </c>
    </row>
    <row r="2" spans="1:3">
      <c r="A2" s="29" t="s">
        <v>30</v>
      </c>
      <c r="B2" s="29"/>
      <c r="C2" s="29">
        <v>951</v>
      </c>
    </row>
    <row r="3" spans="1:3">
      <c r="A3" s="30"/>
      <c r="B3" s="30" t="s">
        <v>31</v>
      </c>
      <c r="C3" s="30">
        <v>51</v>
      </c>
    </row>
    <row r="4" spans="1:3">
      <c r="A4" s="30"/>
      <c r="B4" s="30" t="s">
        <v>32</v>
      </c>
      <c r="C4" s="30">
        <v>17</v>
      </c>
    </row>
    <row r="5" spans="1:3">
      <c r="A5" s="30"/>
      <c r="B5" s="30" t="s">
        <v>33</v>
      </c>
      <c r="C5" s="30">
        <v>85</v>
      </c>
    </row>
    <row r="6" spans="1:3">
      <c r="A6" s="30"/>
      <c r="B6" s="30" t="s">
        <v>34</v>
      </c>
      <c r="C6" s="30">
        <v>17</v>
      </c>
    </row>
    <row r="7" spans="1:3">
      <c r="A7" s="30"/>
      <c r="B7" s="30" t="s">
        <v>35</v>
      </c>
      <c r="C7" s="30">
        <v>17</v>
      </c>
    </row>
    <row r="8" spans="1:3">
      <c r="A8" s="30"/>
      <c r="B8" s="30" t="s">
        <v>36</v>
      </c>
      <c r="C8" s="30">
        <v>305</v>
      </c>
    </row>
    <row r="9" spans="1:3">
      <c r="A9" s="30"/>
      <c r="B9" s="30" t="s">
        <v>37</v>
      </c>
      <c r="C9" s="30">
        <v>136</v>
      </c>
    </row>
    <row r="10" spans="1:3">
      <c r="A10" s="30"/>
      <c r="B10" s="30" t="s">
        <v>38</v>
      </c>
      <c r="C10" s="30">
        <v>323</v>
      </c>
    </row>
    <row r="11" spans="1:3">
      <c r="A11" s="29" t="s">
        <v>39</v>
      </c>
      <c r="B11" s="29"/>
      <c r="C11" s="29">
        <v>30</v>
      </c>
    </row>
    <row r="12" spans="1:3">
      <c r="A12" s="30"/>
      <c r="B12" s="30" t="s">
        <v>31</v>
      </c>
      <c r="C12" s="30">
        <v>7</v>
      </c>
    </row>
    <row r="13" spans="1:3">
      <c r="A13" s="30"/>
      <c r="B13" s="30" t="s">
        <v>36</v>
      </c>
      <c r="C13" s="30">
        <v>15</v>
      </c>
    </row>
    <row r="14" spans="1:3">
      <c r="A14" s="30"/>
      <c r="B14" s="30" t="s">
        <v>37</v>
      </c>
      <c r="C14" s="30">
        <v>8</v>
      </c>
    </row>
    <row r="15" spans="1:3">
      <c r="A15" s="29" t="s">
        <v>40</v>
      </c>
      <c r="B15" s="29"/>
      <c r="C15" s="29">
        <v>1570</v>
      </c>
    </row>
    <row r="16" spans="1:3">
      <c r="A16" s="30"/>
      <c r="B16" s="30" t="s">
        <v>31</v>
      </c>
      <c r="C16" s="30">
        <v>320</v>
      </c>
    </row>
    <row r="17" spans="1:3">
      <c r="A17" s="30"/>
      <c r="B17" s="30" t="s">
        <v>33</v>
      </c>
      <c r="C17" s="30">
        <v>320</v>
      </c>
    </row>
    <row r="18" spans="1:3">
      <c r="A18" s="30"/>
      <c r="B18" s="30" t="s">
        <v>35</v>
      </c>
      <c r="C18" s="30">
        <v>0</v>
      </c>
    </row>
    <row r="19" spans="1:3">
      <c r="A19" s="30"/>
      <c r="B19" s="30" t="s">
        <v>36</v>
      </c>
      <c r="C19" s="30">
        <v>100</v>
      </c>
    </row>
    <row r="20" spans="1:3">
      <c r="A20" s="30"/>
      <c r="B20" s="30" t="s">
        <v>37</v>
      </c>
      <c r="C20" s="30">
        <v>500</v>
      </c>
    </row>
    <row r="21" spans="1:3">
      <c r="A21" s="30"/>
      <c r="B21" s="30" t="s">
        <v>38</v>
      </c>
      <c r="C21" s="30">
        <v>300</v>
      </c>
    </row>
    <row r="22" spans="1:3">
      <c r="A22" s="29" t="s">
        <v>41</v>
      </c>
      <c r="B22" s="29"/>
      <c r="C22" s="29">
        <v>1362</v>
      </c>
    </row>
    <row r="23" spans="1:3">
      <c r="A23" s="30"/>
      <c r="B23" s="30" t="s">
        <v>31</v>
      </c>
      <c r="C23" s="30">
        <v>184</v>
      </c>
    </row>
    <row r="24" spans="1:3">
      <c r="A24" s="30"/>
      <c r="B24" s="30" t="s">
        <v>33</v>
      </c>
      <c r="C24" s="30">
        <v>423</v>
      </c>
    </row>
    <row r="25" spans="1:3">
      <c r="A25" s="30"/>
      <c r="B25" s="30" t="s">
        <v>42</v>
      </c>
      <c r="C25" s="30">
        <v>60</v>
      </c>
    </row>
    <row r="26" spans="1:3">
      <c r="A26" s="30"/>
      <c r="B26" s="30" t="s">
        <v>36</v>
      </c>
      <c r="C26" s="30">
        <v>316</v>
      </c>
    </row>
    <row r="27" spans="1:3">
      <c r="A27" s="30"/>
      <c r="B27" s="30" t="s">
        <v>37</v>
      </c>
      <c r="C27" s="30">
        <v>209</v>
      </c>
    </row>
    <row r="28" spans="1:3">
      <c r="A28" s="30"/>
      <c r="B28" s="30" t="s">
        <v>38</v>
      </c>
      <c r="C28" s="30">
        <v>170</v>
      </c>
    </row>
    <row r="29" spans="1:3">
      <c r="A29" s="29" t="s">
        <v>43</v>
      </c>
      <c r="B29" s="29"/>
      <c r="C29" s="29">
        <v>3878.15</v>
      </c>
    </row>
    <row r="30" spans="1:3">
      <c r="A30" s="30"/>
      <c r="B30" s="30" t="s">
        <v>31</v>
      </c>
      <c r="C30" s="30">
        <v>427.76</v>
      </c>
    </row>
    <row r="31" spans="1:3">
      <c r="A31" s="30"/>
      <c r="B31" s="30" t="s">
        <v>32</v>
      </c>
      <c r="C31" s="30">
        <v>56.01</v>
      </c>
    </row>
    <row r="32" spans="1:3">
      <c r="A32" s="30"/>
      <c r="B32" s="30" t="s">
        <v>33</v>
      </c>
      <c r="C32" s="30">
        <v>1042.44</v>
      </c>
    </row>
    <row r="33" spans="1:3">
      <c r="A33" s="30"/>
      <c r="B33" s="30" t="s">
        <v>44</v>
      </c>
      <c r="C33" s="30">
        <v>18.7</v>
      </c>
    </row>
    <row r="34" spans="1:3">
      <c r="A34" s="30"/>
      <c r="B34" s="30" t="s">
        <v>42</v>
      </c>
      <c r="C34" s="30">
        <v>104.5</v>
      </c>
    </row>
    <row r="35" spans="1:3">
      <c r="A35" s="30"/>
      <c r="B35" s="30" t="s">
        <v>35</v>
      </c>
      <c r="C35" s="30">
        <v>45.56</v>
      </c>
    </row>
    <row r="36" spans="1:3">
      <c r="A36" s="30"/>
      <c r="B36" s="30" t="s">
        <v>36</v>
      </c>
      <c r="C36" s="30">
        <v>751.04</v>
      </c>
    </row>
    <row r="37" spans="1:3">
      <c r="A37" s="30"/>
      <c r="B37" s="30" t="s">
        <v>37</v>
      </c>
      <c r="C37" s="30">
        <v>1075.1</v>
      </c>
    </row>
    <row r="38" spans="1:3">
      <c r="A38" s="30"/>
      <c r="B38" s="30" t="s">
        <v>38</v>
      </c>
      <c r="C38" s="30">
        <v>357.04</v>
      </c>
    </row>
    <row r="39" spans="1:3">
      <c r="A39" s="30" t="s">
        <v>45</v>
      </c>
      <c r="B39" s="30"/>
      <c r="C39" s="30">
        <v>7791.15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4" sqref="I14"/>
    </sheetView>
  </sheetViews>
  <sheetFormatPr defaultColWidth="9.02654867256637" defaultRowHeight="13.5" outlineLevelRow="5" outlineLevelCol="6"/>
  <sheetData>
    <row r="1" spans="1:7">
      <c r="A1" s="25" t="s">
        <v>46</v>
      </c>
      <c r="B1" s="25" t="s">
        <v>47</v>
      </c>
      <c r="C1" s="25" t="s">
        <v>48</v>
      </c>
      <c r="D1" s="25" t="s">
        <v>49</v>
      </c>
      <c r="E1" s="25" t="s">
        <v>50</v>
      </c>
      <c r="F1" s="26" t="s">
        <v>51</v>
      </c>
      <c r="G1" s="24" t="s">
        <v>52</v>
      </c>
    </row>
    <row r="2" spans="1:7">
      <c r="A2" s="25" t="s">
        <v>31</v>
      </c>
      <c r="B2" s="25">
        <v>54282</v>
      </c>
      <c r="C2" s="25">
        <v>140</v>
      </c>
      <c r="D2" s="25">
        <v>11847</v>
      </c>
      <c r="E2" s="25">
        <v>3038</v>
      </c>
      <c r="F2" s="27">
        <f>B2-D2-E2</f>
        <v>39397</v>
      </c>
      <c r="G2" s="24">
        <v>3</v>
      </c>
    </row>
    <row r="3" spans="1:7">
      <c r="A3" s="25" t="s">
        <v>37</v>
      </c>
      <c r="B3" s="25">
        <v>83165</v>
      </c>
      <c r="C3" s="25">
        <v>204</v>
      </c>
      <c r="D3" s="25">
        <v>24705</v>
      </c>
      <c r="E3" s="25">
        <v>3151</v>
      </c>
      <c r="F3" s="27">
        <f>B3-D3-E3</f>
        <v>55309</v>
      </c>
      <c r="G3" s="24">
        <v>4</v>
      </c>
    </row>
    <row r="4" spans="1:7">
      <c r="A4" s="25" t="s">
        <v>33</v>
      </c>
      <c r="B4" s="25">
        <v>65770</v>
      </c>
      <c r="C4" s="25">
        <v>120</v>
      </c>
      <c r="D4" s="25">
        <v>19115</v>
      </c>
      <c r="E4" s="25">
        <v>1620</v>
      </c>
      <c r="F4" s="27">
        <f>B4-D4-E4</f>
        <v>45035</v>
      </c>
      <c r="G4" s="24">
        <v>2</v>
      </c>
    </row>
    <row r="5" spans="1:7">
      <c r="A5" s="25" t="s">
        <v>36</v>
      </c>
      <c r="B5" s="25">
        <v>62002</v>
      </c>
      <c r="C5" s="25">
        <v>117</v>
      </c>
      <c r="D5" s="25">
        <v>22346</v>
      </c>
      <c r="E5" s="25">
        <v>2652</v>
      </c>
      <c r="F5" s="27">
        <f>B5-D5-E5</f>
        <v>37004</v>
      </c>
      <c r="G5" s="24">
        <v>4</v>
      </c>
    </row>
    <row r="6" spans="1:7">
      <c r="A6" s="24" t="s">
        <v>38</v>
      </c>
      <c r="B6" s="24"/>
      <c r="C6" s="24"/>
      <c r="D6" s="24"/>
      <c r="E6" s="24"/>
      <c r="F6" s="24"/>
      <c r="G6" s="24">
        <v>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E32" sqref="E32"/>
    </sheetView>
  </sheetViews>
  <sheetFormatPr defaultColWidth="9.02654867256637" defaultRowHeight="13.5" outlineLevelRow="7" outlineLevelCol="2"/>
  <cols>
    <col min="3" max="3" width="12.7964601769912"/>
  </cols>
  <sheetData>
    <row r="1" spans="1:3">
      <c r="A1" s="24" t="s">
        <v>28</v>
      </c>
      <c r="B1" s="24" t="s">
        <v>53</v>
      </c>
      <c r="C1" s="24" t="s">
        <v>54</v>
      </c>
    </row>
    <row r="2" spans="1:3">
      <c r="A2" s="24" t="s">
        <v>55</v>
      </c>
      <c r="B2" s="24">
        <v>105.68</v>
      </c>
      <c r="C2" s="24">
        <v>71</v>
      </c>
    </row>
    <row r="3" spans="1:3">
      <c r="A3" s="24" t="s">
        <v>56</v>
      </c>
      <c r="B3" s="24">
        <v>81.62</v>
      </c>
      <c r="C3" s="24">
        <v>44</v>
      </c>
    </row>
    <row r="4" spans="1:3">
      <c r="A4" s="24" t="s">
        <v>57</v>
      </c>
      <c r="B4" s="24">
        <v>88.06</v>
      </c>
      <c r="C4" s="24">
        <v>63</v>
      </c>
    </row>
    <row r="5" spans="1:3">
      <c r="A5" s="24" t="s">
        <v>58</v>
      </c>
      <c r="B5" s="24">
        <v>94</v>
      </c>
      <c r="C5" s="24">
        <v>69</v>
      </c>
    </row>
    <row r="6" spans="1:3">
      <c r="A6" s="24" t="s">
        <v>59</v>
      </c>
      <c r="B6" s="24">
        <v>100.6</v>
      </c>
      <c r="C6" s="24">
        <v>36</v>
      </c>
    </row>
    <row r="7" spans="1:3">
      <c r="A7" s="24" t="s">
        <v>60</v>
      </c>
      <c r="B7" s="24">
        <v>109.22</v>
      </c>
      <c r="C7" s="24">
        <v>19</v>
      </c>
    </row>
    <row r="8" spans="1:3">
      <c r="A8" s="24" t="s">
        <v>61</v>
      </c>
      <c r="B8" s="24"/>
      <c r="C8" s="24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opLeftCell="A4" workbookViewId="0">
      <selection activeCell="I16" sqref="I16"/>
    </sheetView>
  </sheetViews>
  <sheetFormatPr defaultColWidth="9.02654867256637" defaultRowHeight="13.5" outlineLevelCol="2"/>
  <cols>
    <col min="3" max="3" width="13.4336283185841" customWidth="1"/>
  </cols>
  <sheetData>
    <row r="1" spans="1:3">
      <c r="A1" s="24" t="s">
        <v>28</v>
      </c>
      <c r="B1" s="24" t="s">
        <v>62</v>
      </c>
      <c r="C1" s="24" t="s">
        <v>63</v>
      </c>
    </row>
    <row r="2" spans="1:3">
      <c r="A2" s="24" t="s">
        <v>38</v>
      </c>
      <c r="B2" s="24">
        <v>900</v>
      </c>
      <c r="C2" s="24" t="s">
        <v>64</v>
      </c>
    </row>
    <row r="3" spans="1:3">
      <c r="A3" s="24" t="s">
        <v>33</v>
      </c>
      <c r="B3" s="24">
        <v>648</v>
      </c>
      <c r="C3" s="24" t="s">
        <v>46</v>
      </c>
    </row>
    <row r="4" spans="1:3">
      <c r="A4" s="24" t="s">
        <v>37</v>
      </c>
      <c r="B4" s="24">
        <v>753</v>
      </c>
      <c r="C4" s="24" t="s">
        <v>46</v>
      </c>
    </row>
    <row r="5" spans="1:3">
      <c r="A5" s="24" t="s">
        <v>65</v>
      </c>
      <c r="B5" s="24">
        <v>793</v>
      </c>
      <c r="C5" s="24" t="s">
        <v>66</v>
      </c>
    </row>
    <row r="6" spans="1:3">
      <c r="A6" s="24" t="s">
        <v>55</v>
      </c>
      <c r="B6" s="24">
        <v>606</v>
      </c>
      <c r="C6" s="24" t="s">
        <v>67</v>
      </c>
    </row>
    <row r="7" spans="1:3">
      <c r="A7" s="24" t="s">
        <v>58</v>
      </c>
      <c r="B7" s="24">
        <v>529</v>
      </c>
      <c r="C7" s="24" t="s">
        <v>67</v>
      </c>
    </row>
    <row r="8" spans="1:3">
      <c r="A8" s="24" t="s">
        <v>60</v>
      </c>
      <c r="B8" s="24">
        <v>690</v>
      </c>
      <c r="C8" s="24" t="s">
        <v>67</v>
      </c>
    </row>
    <row r="9" spans="1:3">
      <c r="A9" s="24" t="s">
        <v>57</v>
      </c>
      <c r="B9" s="24">
        <v>606</v>
      </c>
      <c r="C9" s="24" t="s">
        <v>67</v>
      </c>
    </row>
    <row r="10" spans="1:3">
      <c r="A10" s="24" t="s">
        <v>56</v>
      </c>
      <c r="B10" s="24">
        <v>606</v>
      </c>
      <c r="C10" s="24" t="s">
        <v>67</v>
      </c>
    </row>
    <row r="11" spans="1:3">
      <c r="A11" s="24" t="s">
        <v>59</v>
      </c>
      <c r="B11" s="24">
        <v>606</v>
      </c>
      <c r="C11" s="24" t="s">
        <v>67</v>
      </c>
    </row>
    <row r="12" spans="1:3">
      <c r="A12" s="24" t="s">
        <v>68</v>
      </c>
      <c r="B12" s="24">
        <v>529</v>
      </c>
      <c r="C12" s="24" t="s">
        <v>69</v>
      </c>
    </row>
    <row r="13" spans="1:3">
      <c r="A13" s="24" t="s">
        <v>70</v>
      </c>
      <c r="B13" s="24">
        <v>648</v>
      </c>
      <c r="C13" s="24" t="s">
        <v>69</v>
      </c>
    </row>
    <row r="14" spans="1:3">
      <c r="A14" s="24" t="s">
        <v>36</v>
      </c>
      <c r="B14" s="24">
        <v>648</v>
      </c>
      <c r="C14" s="24" t="s">
        <v>46</v>
      </c>
    </row>
    <row r="15" spans="1:3">
      <c r="A15" s="24" t="s">
        <v>59</v>
      </c>
      <c r="B15" s="24">
        <v>606</v>
      </c>
      <c r="C15" s="24" t="s">
        <v>67</v>
      </c>
    </row>
    <row r="16" spans="1:3">
      <c r="A16" s="24" t="s">
        <v>61</v>
      </c>
      <c r="B16" s="24">
        <v>606</v>
      </c>
      <c r="C16" s="24" t="s">
        <v>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H19" sqref="H19"/>
    </sheetView>
  </sheetViews>
  <sheetFormatPr defaultColWidth="9.02654867256637" defaultRowHeight="13.5" outlineLevelCol="1"/>
  <sheetData>
    <row r="1" spans="1:2">
      <c r="A1" t="s">
        <v>28</v>
      </c>
      <c r="B1" t="s">
        <v>71</v>
      </c>
    </row>
    <row r="2" spans="1:2">
      <c r="A2" t="s">
        <v>33</v>
      </c>
      <c r="B2">
        <v>8</v>
      </c>
    </row>
    <row r="3" spans="1:2">
      <c r="A3" t="s">
        <v>37</v>
      </c>
      <c r="B3">
        <v>8</v>
      </c>
    </row>
    <row r="4" spans="1:2">
      <c r="A4" t="s">
        <v>36</v>
      </c>
      <c r="B4">
        <v>8</v>
      </c>
    </row>
    <row r="5" spans="1:2">
      <c r="A5" t="s">
        <v>31</v>
      </c>
      <c r="B5">
        <v>7</v>
      </c>
    </row>
    <row r="6" spans="1:2">
      <c r="A6" t="s">
        <v>57</v>
      </c>
      <c r="B6">
        <v>16</v>
      </c>
    </row>
    <row r="7" spans="1:2">
      <c r="A7" t="s">
        <v>55</v>
      </c>
      <c r="B7">
        <v>16</v>
      </c>
    </row>
    <row r="8" spans="1:2">
      <c r="A8" t="s">
        <v>56</v>
      </c>
      <c r="B8">
        <v>16</v>
      </c>
    </row>
    <row r="9" spans="1:2">
      <c r="A9" t="s">
        <v>58</v>
      </c>
      <c r="B9">
        <v>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view="pageBreakPreview" zoomScaleNormal="100" workbookViewId="0">
      <selection activeCell="B15" sqref="B15:B16"/>
    </sheetView>
  </sheetViews>
  <sheetFormatPr defaultColWidth="9.02654867256637" defaultRowHeight="13.5" outlineLevelCol="7"/>
  <cols>
    <col min="1" max="1" width="12.0796460176991" customWidth="1"/>
    <col min="2" max="2" width="16.5309734513274" customWidth="1"/>
    <col min="3" max="3" width="14.0088495575221" customWidth="1"/>
    <col min="4" max="4" width="14.4070796460177" customWidth="1"/>
    <col min="5" max="5" width="18.9203539823009" customWidth="1"/>
    <col min="6" max="6" width="13.0176991150442" customWidth="1"/>
    <col min="7" max="7" width="14.8053097345133" customWidth="1"/>
    <col min="8" max="8" width="17.6017699115044" customWidth="1"/>
  </cols>
  <sheetData>
    <row r="1" ht="51" customHeight="1" spans="1:8">
      <c r="A1" s="1" t="s">
        <v>72</v>
      </c>
      <c r="B1" s="1"/>
      <c r="C1" s="1"/>
      <c r="D1" s="1"/>
      <c r="E1" s="1"/>
      <c r="F1" s="1"/>
      <c r="G1" s="1"/>
      <c r="H1" s="1"/>
    </row>
    <row r="2" ht="20.25" spans="1:8">
      <c r="A2" s="2" t="s">
        <v>73</v>
      </c>
      <c r="B2" s="3"/>
      <c r="C2" s="3"/>
      <c r="D2" s="3"/>
      <c r="E2" s="3"/>
      <c r="F2" s="3"/>
      <c r="G2" s="3"/>
      <c r="H2" s="3"/>
    </row>
    <row r="3" ht="16.9" spans="1:8">
      <c r="A3" s="4" t="s">
        <v>74</v>
      </c>
      <c r="B3" s="5" t="s">
        <v>28</v>
      </c>
      <c r="C3" s="5" t="s">
        <v>75</v>
      </c>
      <c r="D3" s="5" t="s">
        <v>76</v>
      </c>
      <c r="E3" s="5" t="s">
        <v>77</v>
      </c>
      <c r="F3" s="5" t="s">
        <v>78</v>
      </c>
      <c r="G3" s="5" t="s">
        <v>47</v>
      </c>
      <c r="H3" s="6" t="s">
        <v>79</v>
      </c>
    </row>
    <row r="4" ht="27" customHeight="1" spans="1:8">
      <c r="A4" s="7">
        <v>1</v>
      </c>
      <c r="B4" s="8" t="s">
        <v>38</v>
      </c>
      <c r="C4" s="9"/>
      <c r="D4" s="9"/>
      <c r="E4" s="9"/>
      <c r="F4" s="9"/>
      <c r="G4" s="9"/>
      <c r="H4" s="10"/>
    </row>
    <row r="5" ht="27" customHeight="1" spans="1:8">
      <c r="A5" s="7">
        <v>2</v>
      </c>
      <c r="B5" s="11" t="s">
        <v>33</v>
      </c>
      <c r="C5" s="12"/>
      <c r="D5" s="12"/>
      <c r="E5" s="12"/>
      <c r="F5" s="12"/>
      <c r="G5" s="12"/>
      <c r="H5" s="13"/>
    </row>
    <row r="6" ht="27" customHeight="1" spans="1:8">
      <c r="A6" s="7">
        <v>3</v>
      </c>
      <c r="B6" s="8" t="s">
        <v>37</v>
      </c>
      <c r="C6" s="9"/>
      <c r="D6" s="9"/>
      <c r="E6" s="9"/>
      <c r="F6" s="9"/>
      <c r="G6" s="9"/>
      <c r="H6" s="10"/>
    </row>
    <row r="7" ht="27" customHeight="1" spans="1:8">
      <c r="A7" s="7">
        <v>4</v>
      </c>
      <c r="B7" s="11" t="s">
        <v>36</v>
      </c>
      <c r="C7" s="12"/>
      <c r="D7" s="12"/>
      <c r="E7" s="12"/>
      <c r="F7" s="12"/>
      <c r="G7" s="12"/>
      <c r="H7" s="13"/>
    </row>
    <row r="8" ht="27" customHeight="1" spans="1:8">
      <c r="A8" s="7">
        <v>5</v>
      </c>
      <c r="B8" s="9" t="s">
        <v>31</v>
      </c>
      <c r="C8" s="9"/>
      <c r="D8" s="9"/>
      <c r="E8" s="9"/>
      <c r="F8" s="9"/>
      <c r="G8" s="9"/>
      <c r="H8" s="14"/>
    </row>
    <row r="9" ht="27" customHeight="1" spans="1:8">
      <c r="A9" s="7">
        <v>6</v>
      </c>
      <c r="B9" s="11" t="s">
        <v>57</v>
      </c>
      <c r="C9" s="12"/>
      <c r="D9" s="12"/>
      <c r="E9" s="12"/>
      <c r="F9" s="12"/>
      <c r="G9" s="12"/>
      <c r="H9" s="13"/>
    </row>
    <row r="10" ht="27" customHeight="1" spans="1:8">
      <c r="A10" s="7">
        <v>7</v>
      </c>
      <c r="B10" s="8" t="s">
        <v>55</v>
      </c>
      <c r="C10" s="9"/>
      <c r="D10" s="9"/>
      <c r="E10" s="9"/>
      <c r="F10" s="9"/>
      <c r="G10" s="9"/>
      <c r="H10" s="10"/>
    </row>
    <row r="11" ht="27" customHeight="1" spans="1:8">
      <c r="A11" s="7">
        <v>8</v>
      </c>
      <c r="B11" s="11" t="s">
        <v>56</v>
      </c>
      <c r="C11" s="12"/>
      <c r="D11" s="12"/>
      <c r="E11" s="12"/>
      <c r="F11" s="12"/>
      <c r="G11" s="12"/>
      <c r="H11" s="13"/>
    </row>
    <row r="12" ht="27" customHeight="1" spans="1:8">
      <c r="A12" s="7">
        <v>9</v>
      </c>
      <c r="B12" s="8" t="s">
        <v>58</v>
      </c>
      <c r="C12" s="9"/>
      <c r="D12" s="9"/>
      <c r="E12" s="9"/>
      <c r="F12" s="9"/>
      <c r="G12" s="9"/>
      <c r="H12" s="10"/>
    </row>
    <row r="13" ht="27" customHeight="1" spans="1:8">
      <c r="A13" s="7">
        <v>10</v>
      </c>
      <c r="B13" s="11" t="s">
        <v>65</v>
      </c>
      <c r="C13" s="12"/>
      <c r="D13" s="12"/>
      <c r="E13" s="12"/>
      <c r="F13" s="12"/>
      <c r="G13" s="12"/>
      <c r="H13" s="13"/>
    </row>
    <row r="14" ht="27" customHeight="1" spans="1:8">
      <c r="A14" s="7">
        <v>11</v>
      </c>
      <c r="B14" s="8" t="s">
        <v>60</v>
      </c>
      <c r="C14" s="9"/>
      <c r="D14" s="9"/>
      <c r="E14" s="9"/>
      <c r="F14" s="9"/>
      <c r="G14" s="9"/>
      <c r="H14" s="10"/>
    </row>
    <row r="15" ht="27" customHeight="1" spans="1:8">
      <c r="A15" s="15">
        <v>12</v>
      </c>
      <c r="B15" s="16" t="s">
        <v>59</v>
      </c>
      <c r="C15" s="17"/>
      <c r="D15" s="17"/>
      <c r="E15" s="17"/>
      <c r="F15" s="17"/>
      <c r="G15" s="17"/>
      <c r="H15" s="18"/>
    </row>
    <row r="16" ht="27" customHeight="1" spans="1:8">
      <c r="A16" s="7">
        <v>13</v>
      </c>
      <c r="B16" s="8" t="s">
        <v>61</v>
      </c>
      <c r="C16" s="9"/>
      <c r="D16" s="9"/>
      <c r="E16" s="19"/>
      <c r="F16" s="9"/>
      <c r="G16" s="19"/>
      <c r="H16" s="10"/>
    </row>
    <row r="17" ht="39" customHeight="1" spans="1:8">
      <c r="A17" s="20"/>
      <c r="B17" s="20" t="s">
        <v>80</v>
      </c>
      <c r="C17" s="20"/>
      <c r="D17" s="21"/>
      <c r="E17" s="20" t="s">
        <v>81</v>
      </c>
      <c r="F17" s="20"/>
      <c r="G17" s="22" t="s">
        <v>82</v>
      </c>
      <c r="H17" s="22"/>
    </row>
    <row r="18" ht="26" customHeight="1" spans="1:8">
      <c r="A18" s="23" t="s">
        <v>83</v>
      </c>
    </row>
  </sheetData>
  <mergeCells count="3">
    <mergeCell ref="A1:H1"/>
    <mergeCell ref="A2:H2"/>
    <mergeCell ref="G17:H17"/>
  </mergeCells>
  <printOptions horizontalCentered="1"/>
  <pageMargins left="0.751388888888889" right="0.751388888888889" top="1" bottom="1" header="0.5" footer="0.5"/>
  <pageSetup paperSize="9" scale="87" orientation="landscape" horizontalDpi="6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\Users\庄主\WPSDrive\246559195\WPS云盘\神经内科\科室绩效\2025\2025年12月.xlsx" FileId="487758570226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院发绩效表</vt:lpstr>
      <vt:lpstr>判读费</vt:lpstr>
      <vt:lpstr>医师工作量</vt:lpstr>
      <vt:lpstr>护士工作量</vt:lpstr>
      <vt:lpstr>绩效发放名单</vt:lpstr>
      <vt:lpstr>夜班统计</vt:lpstr>
      <vt:lpstr>科室绩效汇总发放表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庄主</dc:creator>
  <cp:lastModifiedBy>庄飞</cp:lastModifiedBy>
  <dcterms:created xsi:type="dcterms:W3CDTF">2026-01-20T11:50:54Z</dcterms:created>
  <dcterms:modified xsi:type="dcterms:W3CDTF">2026-01-20T15:10:05Z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5DB5738432C04095A4476583E6B9EC4D_11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